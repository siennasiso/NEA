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US" sheetId="2" state="visible" r:id="rId2"/>
    <sheet xmlns:r="http://schemas.openxmlformats.org/officeDocument/2006/relationships" name="For write-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7A2049"/>
    </font>
    <font>
      <b val="1"/>
    </font>
  </fonts>
  <fills count="3">
    <fill>
      <patternFill/>
    </fill>
    <fill>
      <patternFill patternType="gray125"/>
    </fill>
    <fill>
      <patternFill patternType="solid">
        <fgColor rgb="00FB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9" customWidth="1" min="4" max="4"/>
    <col width="12" customWidth="1" min="5" max="5"/>
    <col width="16" customWidth="1" min="6" max="6"/>
    <col width="50" customWidth="1" min="7" max="7"/>
  </cols>
  <sheetData>
    <row r="1">
      <c r="A1" s="1" t="inlineStr">
        <is>
          <t>Tester</t>
        </is>
      </c>
      <c r="B1" s="1" t="inlineStr">
        <is>
          <t>Task</t>
        </is>
      </c>
      <c r="C1" s="1" t="inlineStr">
        <is>
          <t>Completed (Y/N, n.a.)</t>
        </is>
      </c>
      <c r="D1" s="1" t="inlineStr">
        <is>
          <t>Seconds</t>
        </is>
      </c>
      <c r="E1" s="1" t="inlineStr">
        <is>
          <t>Errors (wrong taps)</t>
        </is>
      </c>
      <c r="F1" s="1" t="inlineStr">
        <is>
          <t>Difficulty (1 very easy - 10 very hard)</t>
        </is>
      </c>
      <c r="G1" s="1" t="inlineStr">
        <is>
          <t>Comment</t>
        </is>
      </c>
    </row>
    <row r="2">
      <c r="A2" t="inlineStr">
        <is>
          <t>Tester 1</t>
        </is>
      </c>
      <c r="B2" t="inlineStr">
        <is>
          <t>U1</t>
        </is>
      </c>
    </row>
    <row r="3">
      <c r="A3" t="inlineStr">
        <is>
          <t>Tester 1</t>
        </is>
      </c>
      <c r="B3" t="inlineStr">
        <is>
          <t>U2</t>
        </is>
      </c>
    </row>
    <row r="4">
      <c r="A4" t="inlineStr">
        <is>
          <t>Tester 1</t>
        </is>
      </c>
      <c r="B4" t="inlineStr">
        <is>
          <t>U3</t>
        </is>
      </c>
    </row>
    <row r="5">
      <c r="A5" t="inlineStr">
        <is>
          <t>Tester 1</t>
        </is>
      </c>
      <c r="B5" t="inlineStr">
        <is>
          <t>U4</t>
        </is>
      </c>
    </row>
    <row r="6">
      <c r="A6" t="inlineStr">
        <is>
          <t>Tester 1</t>
        </is>
      </c>
      <c r="B6" t="inlineStr">
        <is>
          <t>U5</t>
        </is>
      </c>
    </row>
    <row r="7">
      <c r="A7" t="inlineStr">
        <is>
          <t>Tester 2</t>
        </is>
      </c>
      <c r="B7" t="inlineStr">
        <is>
          <t>U1</t>
        </is>
      </c>
    </row>
    <row r="8">
      <c r="A8" t="inlineStr">
        <is>
          <t>Tester 2</t>
        </is>
      </c>
      <c r="B8" t="inlineStr">
        <is>
          <t>U2</t>
        </is>
      </c>
    </row>
    <row r="9">
      <c r="A9" t="inlineStr">
        <is>
          <t>Tester 2</t>
        </is>
      </c>
      <c r="B9" t="inlineStr">
        <is>
          <t>U3</t>
        </is>
      </c>
    </row>
    <row r="10">
      <c r="A10" t="inlineStr">
        <is>
          <t>Tester 2</t>
        </is>
      </c>
      <c r="B10" t="inlineStr">
        <is>
          <t>U4</t>
        </is>
      </c>
    </row>
    <row r="11">
      <c r="A11" t="inlineStr">
        <is>
          <t>Tester 2</t>
        </is>
      </c>
      <c r="B11" t="inlineStr">
        <is>
          <t>U5</t>
        </is>
      </c>
    </row>
    <row r="12">
      <c r="A12" t="inlineStr">
        <is>
          <t>Tester 3</t>
        </is>
      </c>
      <c r="B12" t="inlineStr">
        <is>
          <t>U1</t>
        </is>
      </c>
    </row>
    <row r="13">
      <c r="A13" t="inlineStr">
        <is>
          <t>Tester 3</t>
        </is>
      </c>
      <c r="B13" t="inlineStr">
        <is>
          <t>U2</t>
        </is>
      </c>
    </row>
    <row r="14">
      <c r="A14" t="inlineStr">
        <is>
          <t>Tester 3</t>
        </is>
      </c>
      <c r="B14" t="inlineStr">
        <is>
          <t>U3</t>
        </is>
      </c>
    </row>
    <row r="15">
      <c r="A15" t="inlineStr">
        <is>
          <t>Tester 3</t>
        </is>
      </c>
      <c r="B15" t="inlineStr">
        <is>
          <t>U4</t>
        </is>
      </c>
    </row>
    <row r="16">
      <c r="A16" t="inlineStr">
        <is>
          <t>Tester 3</t>
        </is>
      </c>
      <c r="B16" t="inlineStr">
        <is>
          <t>U5</t>
        </is>
      </c>
    </row>
    <row r="17">
      <c r="A17" t="inlineStr">
        <is>
          <t>Tester 4</t>
        </is>
      </c>
      <c r="B17" t="inlineStr">
        <is>
          <t>U1</t>
        </is>
      </c>
    </row>
    <row r="18">
      <c r="A18" t="inlineStr">
        <is>
          <t>Tester 4</t>
        </is>
      </c>
      <c r="B18" t="inlineStr">
        <is>
          <t>U2</t>
        </is>
      </c>
    </row>
    <row r="19">
      <c r="A19" t="inlineStr">
        <is>
          <t>Tester 4</t>
        </is>
      </c>
      <c r="B19" t="inlineStr">
        <is>
          <t>U3</t>
        </is>
      </c>
    </row>
    <row r="20">
      <c r="A20" t="inlineStr">
        <is>
          <t>Tester 4</t>
        </is>
      </c>
      <c r="B20" t="inlineStr">
        <is>
          <t>U4</t>
        </is>
      </c>
    </row>
    <row r="21">
      <c r="A21" t="inlineStr">
        <is>
          <t>Tester 4</t>
        </is>
      </c>
      <c r="B21" t="inlineStr">
        <is>
          <t>U5</t>
        </is>
      </c>
    </row>
    <row r="22">
      <c r="A22" t="inlineStr">
        <is>
          <t>Tester 5</t>
        </is>
      </c>
      <c r="B22" t="inlineStr">
        <is>
          <t>U1</t>
        </is>
      </c>
    </row>
    <row r="23">
      <c r="A23" t="inlineStr">
        <is>
          <t>Tester 5</t>
        </is>
      </c>
      <c r="B23" t="inlineStr">
        <is>
          <t>U2</t>
        </is>
      </c>
    </row>
    <row r="24">
      <c r="A24" t="inlineStr">
        <is>
          <t>Tester 5</t>
        </is>
      </c>
      <c r="B24" t="inlineStr">
        <is>
          <t>U3</t>
        </is>
      </c>
    </row>
    <row r="25">
      <c r="A25" t="inlineStr">
        <is>
          <t>Tester 5</t>
        </is>
      </c>
      <c r="B25" t="inlineStr">
        <is>
          <t>U4</t>
        </is>
      </c>
    </row>
    <row r="26">
      <c r="A26" t="inlineStr">
        <is>
          <t>Tester 5</t>
        </is>
      </c>
      <c r="B26" t="inlineStr">
        <is>
          <t>U5</t>
        </is>
      </c>
    </row>
  </sheetData>
  <dataValidations count="1">
    <dataValidation sqref="C2 C3 C4 C5 C6 C7 C8 C9 C10 C11 C12 C13 C14 C15 C16 C17 C18 C19 C20 C21 C22 C23 C24 C25 C26" showDropDown="0" showInputMessage="0" showErrorMessage="0" allowBlank="1" type="list">
      <formula1>"Y,N,n.a."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Tester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SUS score (0-100)</t>
        </is>
      </c>
      <c r="M1" t="inlineStr">
        <is>
          <t>Answers 1 (strongly disagree) to 5 (strongly agree). Score = ((each odd Q - 1) + (5 - each even Q)) x 2.5 (Brooke, 1996).</t>
        </is>
      </c>
    </row>
    <row r="2">
      <c r="A2" t="inlineStr">
        <is>
          <t>Tester 1</t>
        </is>
      </c>
      <c r="L2">
        <f>IF(COUNT(B2:K2)&lt;10,"",((B2-1)+(D2-1)+(F2-1)+(H2-1)+(J2-1)+(5-C2)+(5-E2)+(5-G2)+(5-I2)+(5-K2))*2.5)</f>
        <v/>
      </c>
    </row>
    <row r="3">
      <c r="A3" t="inlineStr">
        <is>
          <t>Tester 2</t>
        </is>
      </c>
      <c r="L3">
        <f>IF(COUNT(B3:K3)&lt;10,"",((B3-1)+(D3-1)+(F3-1)+(H3-1)+(J3-1)+(5-C3)+(5-E3)+(5-G3)+(5-I3)+(5-K3))*2.5)</f>
        <v/>
      </c>
    </row>
    <row r="4">
      <c r="A4" t="inlineStr">
        <is>
          <t>Tester 3</t>
        </is>
      </c>
      <c r="L4">
        <f>IF(COUNT(B4:K4)&lt;10,"",((B4-1)+(D4-1)+(F4-1)+(H4-1)+(J4-1)+(5-C4)+(5-E4)+(5-G4)+(5-I4)+(5-K4))*2.5)</f>
        <v/>
      </c>
    </row>
    <row r="5">
      <c r="A5" t="inlineStr">
        <is>
          <t>Tester 4</t>
        </is>
      </c>
      <c r="L5">
        <f>IF(COUNT(B5:K5)&lt;10,"",((B5-1)+(D5-1)+(F5-1)+(H5-1)+(J5-1)+(5-C5)+(5-E5)+(5-G5)+(5-I5)+(5-K5))*2.5)</f>
        <v/>
      </c>
    </row>
    <row r="6">
      <c r="A6" t="inlineStr">
        <is>
          <t>Tester 5</t>
        </is>
      </c>
      <c r="L6">
        <f>IF(COUNT(B6:K6)&lt;10,"",((B6-1)+(D6-1)+(F6-1)+(H6-1)+(J6-1)+(5-C6)+(5-E6)+(5-G6)+(5-I6)+(5-K6))*2.5)</f>
        <v/>
      </c>
    </row>
    <row r="8">
      <c r="A8" s="2" t="inlineStr">
        <is>
          <t>Mean</t>
        </is>
      </c>
      <c r="L8">
        <f>IFERROR(AVERAGE(L2:L6),"")</f>
        <v/>
      </c>
    </row>
    <row r="9">
      <c r="A9" s="2" t="inlineStr">
        <is>
          <t>Lowest</t>
        </is>
      </c>
      <c r="L9">
        <f>IFERROR(MIN(L2:L6),"")</f>
        <v/>
      </c>
    </row>
    <row r="10">
      <c r="A10" s="2" t="inlineStr">
        <is>
          <t>Highest</t>
        </is>
      </c>
      <c r="L10">
        <f>IFERROR(MAX(L2:L6),"")</f>
        <v/>
      </c>
    </row>
    <row r="11">
      <c r="A11" s="2" t="inlineStr">
        <is>
          <t>Testers at or above 68</t>
        </is>
      </c>
      <c r="L11">
        <f>COUNTIF(L2:L6,"&gt;=68")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8" customWidth="1" min="4" max="4"/>
    <col width="11" customWidth="1" min="5" max="5"/>
    <col width="12" customWidth="1" min="6" max="6"/>
    <col width="9" customWidth="1" min="7" max="7"/>
    <col width="12" customWidth="1" min="8" max="8"/>
    <col width="12" customWidth="1" min="9" max="9"/>
  </cols>
  <sheetData>
    <row r="1">
      <c r="A1" s="1" t="inlineStr">
        <is>
          <t>Task</t>
        </is>
      </c>
      <c r="B1" s="1" t="inlineStr">
        <is>
          <t>Screen</t>
        </is>
      </c>
      <c r="C1" s="1" t="inlineStr">
        <is>
          <t>Criterion</t>
        </is>
      </c>
      <c r="D1" s="1" t="inlineStr">
        <is>
          <t>Testers</t>
        </is>
      </c>
      <c r="E1" s="1" t="inlineStr">
        <is>
          <t>Completion</t>
        </is>
      </c>
      <c r="F1" s="1" t="inlineStr">
        <is>
          <t>Mean time (s, completed)</t>
        </is>
      </c>
      <c r="G1" s="1" t="inlineStr">
        <is>
          <t>Mean errors</t>
        </is>
      </c>
      <c r="H1" s="1" t="inlineStr">
        <is>
          <t>Mean difficulty (1-10)</t>
        </is>
      </c>
      <c r="I1" s="1" t="inlineStr">
        <is>
          <t>Verdict</t>
        </is>
      </c>
    </row>
    <row r="2">
      <c r="A2" t="inlineStr">
        <is>
          <t>U1 register and log in</t>
        </is>
      </c>
      <c r="B2" t="inlineStr">
        <is>
          <t>Register, login</t>
        </is>
      </c>
      <c r="C2" t="inlineStr">
        <is>
          <t>SC6, SC7</t>
        </is>
      </c>
      <c r="D2">
        <f>COUNTIFS(Tasks!$B$2:$B$26,"U1",Tasks!$C$2:$C$26,"Y")+COUNTIFS(Tasks!$B$2:$B$26,"U1",Tasks!$C$2:$C$26,"N")</f>
        <v/>
      </c>
      <c r="E2" s="3">
        <f>IF(D2=0,"",COUNTIFS(Tasks!$B$2:$B$26,"U1",Tasks!$C$2:$C$26,"Y")/D2)</f>
        <v/>
      </c>
      <c r="F2">
        <f>IFERROR(ROUND(AVERAGEIFS(Tasks!$D$2:$D$26,Tasks!$B$2:$B$26,"U1",Tasks!$C$2:$C$26,"Y"),0),"")</f>
        <v/>
      </c>
      <c r="G2">
        <f>IFERROR(ROUND(AVERAGEIFS(Tasks!$E$2:$E$26,Tasks!$B$2:$B$26,"U1",Tasks!$C$2:$C$26,"&lt;&gt;n.a."),1),"")</f>
        <v/>
      </c>
      <c r="H2">
        <f>IFERROR(ROUND(AVERAGEIFS(Tasks!$F$2:$F$26,Tasks!$B$2:$B$26,"U1",Tasks!$C$2:$C$26,"&lt;&gt;n.a."),1),"")</f>
        <v/>
      </c>
      <c r="I2">
        <f>IF(D2=0,"Not tested",IF(AND(E2&gt;=0.8,H2&lt;=4,TRUE),"Met",IF(E2&gt;=0.5,"Partly met","Not met")))</f>
        <v/>
      </c>
    </row>
    <row r="3">
      <c r="A3" t="inlineStr">
        <is>
          <t>U2 questionnaire</t>
        </is>
      </c>
      <c r="B3" t="inlineStr">
        <is>
          <t>Questionnaire (10 screens)</t>
        </is>
      </c>
      <c r="C3" t="inlineStr">
        <is>
          <t>SC8</t>
        </is>
      </c>
      <c r="D3">
        <f>COUNTIFS(Tasks!$B$2:$B$26,"U2",Tasks!$C$2:$C$26,"Y")+COUNTIFS(Tasks!$B$2:$B$26,"U2",Tasks!$C$2:$C$26,"N")</f>
        <v/>
      </c>
      <c r="E3" s="3">
        <f>IF(D3=0,"",COUNTIFS(Tasks!$B$2:$B$26,"U2",Tasks!$C$2:$C$26,"Y")/D3)</f>
        <v/>
      </c>
      <c r="F3">
        <f>IFERROR(ROUND(AVERAGEIFS(Tasks!$D$2:$D$26,Tasks!$B$2:$B$26,"U2",Tasks!$C$2:$C$26,"Y"),0),"")</f>
        <v/>
      </c>
      <c r="G3">
        <f>IFERROR(ROUND(AVERAGEIFS(Tasks!$E$2:$E$26,Tasks!$B$2:$B$26,"U2",Tasks!$C$2:$C$26,"&lt;&gt;n.a."),1),"")</f>
        <v/>
      </c>
      <c r="H3">
        <f>IFERROR(ROUND(AVERAGEIFS(Tasks!$F$2:$F$26,Tasks!$B$2:$B$26,"U2",Tasks!$C$2:$C$26,"&lt;&gt;n.a."),1),"")</f>
        <v/>
      </c>
      <c r="I3">
        <f>IF(D3=0,"Not tested",IF(AND(E3&gt;=0.8,H3&lt;=4,AND(F3&lt;&gt;"",F3&lt;=180)),"Met",IF(E3&gt;=0.5,"Partly met","Not met")))</f>
        <v/>
      </c>
    </row>
    <row r="4">
      <c r="A4" t="inlineStr">
        <is>
          <t>U3 explain the top match</t>
        </is>
      </c>
      <c r="B4" t="inlineStr">
        <is>
          <t>Matches</t>
        </is>
      </c>
      <c r="C4" t="inlineStr">
        <is>
          <t>SC11</t>
        </is>
      </c>
      <c r="D4">
        <f>COUNTIFS(Tasks!$B$2:$B$26,"U3",Tasks!$C$2:$C$26,"Y")+COUNTIFS(Tasks!$B$2:$B$26,"U3",Tasks!$C$2:$C$26,"N")</f>
        <v/>
      </c>
      <c r="E4" s="3">
        <f>IF(D4=0,"",COUNTIFS(Tasks!$B$2:$B$26,"U3",Tasks!$C$2:$C$26,"Y")/D4)</f>
        <v/>
      </c>
      <c r="F4">
        <f>IFERROR(ROUND(AVERAGEIFS(Tasks!$D$2:$D$26,Tasks!$B$2:$B$26,"U3",Tasks!$C$2:$C$26,"Y"),0),"")</f>
        <v/>
      </c>
      <c r="G4">
        <f>IFERROR(ROUND(AVERAGEIFS(Tasks!$E$2:$E$26,Tasks!$B$2:$B$26,"U3",Tasks!$C$2:$C$26,"&lt;&gt;n.a."),1),"")</f>
        <v/>
      </c>
      <c r="H4">
        <f>IFERROR(ROUND(AVERAGEIFS(Tasks!$F$2:$F$26,Tasks!$B$2:$B$26,"U3",Tasks!$C$2:$C$26,"&lt;&gt;n.a."),1),"")</f>
        <v/>
      </c>
      <c r="I4">
        <f>IF(D4=0,"Not tested",IF(AND(E4&gt;=0.8,H4&lt;=4,TRUE),"Met",IF(E4&gt;=0.5,"Partly met","Not met")))</f>
        <v/>
      </c>
    </row>
    <row r="5">
      <c r="A5" t="inlineStr">
        <is>
          <t>U4 staff add, edit, delete</t>
        </is>
      </c>
      <c r="B5" t="inlineStr">
        <is>
          <t>Staff manage, add animal</t>
        </is>
      </c>
      <c r="C5" t="inlineStr">
        <is>
          <t>SC12</t>
        </is>
      </c>
      <c r="D5">
        <f>COUNTIFS(Tasks!$B$2:$B$26,"U4",Tasks!$C$2:$C$26,"Y")+COUNTIFS(Tasks!$B$2:$B$26,"U4",Tasks!$C$2:$C$26,"N")</f>
        <v/>
      </c>
      <c r="E5" s="3">
        <f>IF(D5=0,"",COUNTIFS(Tasks!$B$2:$B$26,"U4",Tasks!$C$2:$C$26,"Y")/D5)</f>
        <v/>
      </c>
      <c r="F5">
        <f>IFERROR(ROUND(AVERAGEIFS(Tasks!$D$2:$D$26,Tasks!$B$2:$B$26,"U4",Tasks!$C$2:$C$26,"Y"),0),"")</f>
        <v/>
      </c>
      <c r="G5">
        <f>IFERROR(ROUND(AVERAGEIFS(Tasks!$E$2:$E$26,Tasks!$B$2:$B$26,"U4",Tasks!$C$2:$C$26,"&lt;&gt;n.a."),1),"")</f>
        <v/>
      </c>
      <c r="H5">
        <f>IFERROR(ROUND(AVERAGEIFS(Tasks!$F$2:$F$26,Tasks!$B$2:$B$26,"U4",Tasks!$C$2:$C$26,"&lt;&gt;n.a."),1),"")</f>
        <v/>
      </c>
      <c r="I5">
        <f>IF(D5=0,"Not tested",IF(AND(E5&gt;=0.8,H5&lt;=4,TRUE),"Met",IF(E5&gt;=0.5,"Partly met","Not met")))</f>
        <v/>
      </c>
    </row>
    <row r="6">
      <c r="A6" t="inlineStr">
        <is>
          <t>U5 browse and return</t>
        </is>
      </c>
      <c r="B6" t="inlineStr">
        <is>
          <t>Browse, profile</t>
        </is>
      </c>
      <c r="C6" t="inlineStr">
        <is>
          <t>SC4, SC5</t>
        </is>
      </c>
      <c r="D6">
        <f>COUNTIFS(Tasks!$B$2:$B$26,"U5",Tasks!$C$2:$C$26,"Y")+COUNTIFS(Tasks!$B$2:$B$26,"U5",Tasks!$C$2:$C$26,"N")</f>
        <v/>
      </c>
      <c r="E6" s="3">
        <f>IF(D6=0,"",COUNTIFS(Tasks!$B$2:$B$26,"U5",Tasks!$C$2:$C$26,"Y")/D6)</f>
        <v/>
      </c>
      <c r="F6">
        <f>IFERROR(ROUND(AVERAGEIFS(Tasks!$D$2:$D$26,Tasks!$B$2:$B$26,"U5",Tasks!$C$2:$C$26,"Y"),0),"")</f>
        <v/>
      </c>
      <c r="G6">
        <f>IFERROR(ROUND(AVERAGEIFS(Tasks!$E$2:$E$26,Tasks!$B$2:$B$26,"U5",Tasks!$C$2:$C$26,"&lt;&gt;n.a."),1),"")</f>
        <v/>
      </c>
      <c r="H6">
        <f>IFERROR(ROUND(AVERAGEIFS(Tasks!$F$2:$F$26,Tasks!$B$2:$B$26,"U5",Tasks!$C$2:$C$26,"&lt;&gt;n.a."),1),"")</f>
        <v/>
      </c>
      <c r="I6">
        <f>IF(D6=0,"Not tested",IF(AND(E6&gt;=0.8,H6&lt;=4,TRUE),"Met",IF(E6&gt;=0.5,"Partly met","Not met")))</f>
        <v/>
      </c>
    </row>
    <row r="7">
      <c r="A7" s="2" t="inlineStr">
        <is>
          <t>SUS (all testers)</t>
        </is>
      </c>
      <c r="C7" t="inlineStr">
        <is>
          <t>SC15</t>
        </is>
      </c>
      <c r="D7">
        <f>COUNT(SUS!L2:L6)</f>
        <v/>
      </c>
      <c r="E7" s="4">
        <f>SUS!L8</f>
        <v/>
      </c>
      <c r="I7">
        <f>IF(D7=0,"Not tested",IF(E7&gt;=68,"Met","Not met"))</f>
        <v/>
      </c>
    </row>
    <row r="9">
      <c r="A9" t="inlineStr">
        <is>
          <t>Verdict rule: Met = at least 80% completed it and the mean difficulty is 4 or less (U2 also needs a mean time of 3 minutes or less, SC8); Partly met = at least 50% completed it; otherwise Not met. SC15 is met when the mean SUS score is at least 68 (the average website).</t>
        </is>
      </c>
    </row>
    <row r="10">
      <c r="A10" t="inlineStr">
        <is>
          <t>For SUS, column E shows the mean score, not a percentage.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2026-10-23T11:21:05Z</dcterms:created>
  <dcterms:modified xmlns:dcterms="http://purl.org/dc/terms/" xmlns:xsi="http://www.w3.org/2001/XMLSchema-instance" xsi:type="dcterms:W3CDTF">2026-10-23T11:21:05Z</dcterms:modified>
</cp:coreProperties>
</file>